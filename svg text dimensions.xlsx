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zysztof\Dysk Google\soft\source\svg\"/>
    </mc:Choice>
  </mc:AlternateContent>
  <xr:revisionPtr revIDLastSave="0" documentId="13_ncr:1_{D2B60976-2DC7-4C8C-832E-493DBF55E527}" xr6:coauthVersionLast="47" xr6:coauthVersionMax="47" xr10:uidLastSave="{00000000-0000-0000-0000-000000000000}"/>
  <bookViews>
    <workbookView xWindow="-120" yWindow="-21720" windowWidth="38640" windowHeight="21240" xr2:uid="{686B2675-0ADD-45F6-AC8F-5698EA058983}"/>
  </bookViews>
  <sheets>
    <sheet name="Sheet1" sheetId="1" r:id="rId1"/>
  </sheets>
  <definedNames>
    <definedName name="FontSizePt" comment="Font size [pt]">Sheet1!$B$16</definedName>
    <definedName name="FontSizePx" comment="Font size [px]">Sheet1!$C$16</definedName>
    <definedName name="Pt_In" comment="Point per inch [pt/in]">Sheet1!$B$14</definedName>
    <definedName name="Pt_Px" comment="Point per pixel [pt/px]">Sheet1!$B$15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0" i="1" l="1"/>
  <c r="J41" i="1"/>
  <c r="K40" i="1"/>
  <c r="K41" i="1"/>
  <c r="J39" i="1"/>
  <c r="K39" i="1"/>
  <c r="J37" i="1"/>
  <c r="K37" i="1"/>
  <c r="J36" i="1"/>
  <c r="K36" i="1"/>
  <c r="I34" i="1"/>
  <c r="I33" i="1"/>
  <c r="K33" i="1" s="1"/>
  <c r="J30" i="1"/>
  <c r="J31" i="1"/>
  <c r="J32" i="1"/>
  <c r="J34" i="1"/>
  <c r="K30" i="1"/>
  <c r="K31" i="1"/>
  <c r="K32" i="1"/>
  <c r="K34" i="1"/>
  <c r="I28" i="1"/>
  <c r="I27" i="1"/>
  <c r="J4" i="1"/>
  <c r="J5" i="1"/>
  <c r="J6" i="1"/>
  <c r="J7" i="1"/>
  <c r="J8" i="1"/>
  <c r="J9" i="1"/>
  <c r="J10" i="1"/>
  <c r="J12" i="1"/>
  <c r="J13" i="1"/>
  <c r="J14" i="1"/>
  <c r="J15" i="1"/>
  <c r="J16" i="1"/>
  <c r="J18" i="1"/>
  <c r="J19" i="1"/>
  <c r="J20" i="1"/>
  <c r="J21" i="1"/>
  <c r="J22" i="1"/>
  <c r="J24" i="1"/>
  <c r="J25" i="1"/>
  <c r="J26" i="1"/>
  <c r="J27" i="1"/>
  <c r="J28" i="1"/>
  <c r="K4" i="1"/>
  <c r="K5" i="1"/>
  <c r="K6" i="1"/>
  <c r="K7" i="1"/>
  <c r="K8" i="1"/>
  <c r="K9" i="1"/>
  <c r="K10" i="1"/>
  <c r="K12" i="1"/>
  <c r="K13" i="1"/>
  <c r="K14" i="1"/>
  <c r="K15" i="1"/>
  <c r="K16" i="1"/>
  <c r="K18" i="1"/>
  <c r="K19" i="1"/>
  <c r="K20" i="1"/>
  <c r="K21" i="1"/>
  <c r="K22" i="1"/>
  <c r="K24" i="1"/>
  <c r="K25" i="1"/>
  <c r="K26" i="1"/>
  <c r="K27" i="1"/>
  <c r="K28" i="1"/>
  <c r="C27" i="1"/>
  <c r="C26" i="1"/>
  <c r="F10" i="1"/>
  <c r="C17" i="1" s="1"/>
  <c r="F8" i="1"/>
  <c r="E9" i="1"/>
  <c r="C14" i="1"/>
  <c r="C7" i="1"/>
  <c r="C6" i="1"/>
  <c r="C4" i="1"/>
  <c r="C5" i="1"/>
  <c r="D7" i="1"/>
  <c r="D5" i="1"/>
  <c r="D4" i="1"/>
  <c r="D3" i="1"/>
  <c r="B15" i="1"/>
  <c r="I21" i="1"/>
  <c r="I19" i="1"/>
  <c r="I13" i="1"/>
  <c r="I8" i="1"/>
  <c r="I6" i="1"/>
  <c r="J33" i="1" l="1"/>
  <c r="E10" i="1"/>
  <c r="B17" i="1" s="1"/>
  <c r="B16" i="1" s="1"/>
  <c r="E7" i="1" s="1"/>
  <c r="E6" i="1" l="1"/>
  <c r="C16" i="1"/>
  <c r="E3" i="1"/>
  <c r="E4" i="1"/>
  <c r="E5" i="1"/>
  <c r="F4" i="1"/>
  <c r="F3" i="1"/>
  <c r="F6" i="1"/>
  <c r="F7" i="1" l="1"/>
  <c r="F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Krzysztof Lasota</author>
  </authors>
  <commentList>
    <comment ref="A3" authorId="0" shapeId="0" xr:uid="{DF75B9BE-17BE-4A55-BDA7-D51841198B56}">
      <text>
        <r>
          <rPr>
            <sz val="9"/>
            <color indexed="81"/>
            <rFont val="Tahoma"/>
            <family val="2"/>
            <charset val="238"/>
          </rPr>
          <t>font-face
: units-per-em</t>
        </r>
      </text>
    </comment>
    <comment ref="A4" authorId="0" shapeId="0" xr:uid="{4237A471-6F65-4EC8-A115-BFDC6707D1F2}">
      <text>
        <r>
          <rPr>
            <sz val="9"/>
            <color indexed="81"/>
            <rFont val="Tahoma"/>
            <family val="2"/>
            <charset val="238"/>
          </rPr>
          <t>glyph
: horiz-adv-x</t>
        </r>
      </text>
    </comment>
    <comment ref="A5" authorId="0" shapeId="0" xr:uid="{83D293C8-CF73-4E40-93CF-01D3C8903D2E}">
      <text>
        <r>
          <rPr>
            <sz val="9"/>
            <color indexed="81"/>
            <rFont val="Tahoma"/>
            <family val="2"/>
            <charset val="238"/>
          </rPr>
          <t>font-face
: cap-height</t>
        </r>
      </text>
    </comment>
    <comment ref="A6" authorId="0" shapeId="0" xr:uid="{FF0104EF-A4E2-4B64-9E9C-DA31C922D6DB}">
      <text>
        <r>
          <rPr>
            <sz val="9"/>
            <color indexed="81"/>
            <rFont val="Tahoma"/>
            <family val="2"/>
            <charset val="238"/>
          </rPr>
          <t>font-face
: x-height</t>
        </r>
      </text>
    </comment>
  </commentList>
</comments>
</file>

<file path=xl/sharedStrings.xml><?xml version="1.0" encoding="utf-8"?>
<sst xmlns="http://schemas.openxmlformats.org/spreadsheetml/2006/main" count="72" uniqueCount="42">
  <si>
    <t>Name</t>
  </si>
  <si>
    <t>SVGpoints</t>
  </si>
  <si>
    <t>pre space</t>
  </si>
  <si>
    <t>height</t>
  </si>
  <si>
    <t>width</t>
  </si>
  <si>
    <t>thick x</t>
  </si>
  <si>
    <t>thick y</t>
  </si>
  <si>
    <t>horiz-adv-x</t>
  </si>
  <si>
    <t>cap-height</t>
  </si>
  <si>
    <t>x</t>
  </si>
  <si>
    <t>M</t>
  </si>
  <si>
    <t>advance w</t>
  </si>
  <si>
    <t>post space</t>
  </si>
  <si>
    <t>L pre space</t>
  </si>
  <si>
    <t>0.1137em</t>
  </si>
  <si>
    <t>M pre space</t>
  </si>
  <si>
    <t>0.0235em</t>
  </si>
  <si>
    <t>L</t>
  </si>
  <si>
    <t>px</t>
  </si>
  <si>
    <t>em</t>
  </si>
  <si>
    <t>ex</t>
  </si>
  <si>
    <t>x pre space</t>
  </si>
  <si>
    <t>Em</t>
  </si>
  <si>
    <t>pt</t>
  </si>
  <si>
    <t>unit</t>
  </si>
  <si>
    <t>TFontFace</t>
  </si>
  <si>
    <t>TUnits</t>
  </si>
  <si>
    <t>PointPerInch</t>
  </si>
  <si>
    <t>PointPerPixel</t>
  </si>
  <si>
    <t>u</t>
  </si>
  <si>
    <t>FontSize</t>
  </si>
  <si>
    <t>m-width</t>
  </si>
  <si>
    <t>CapHeightFontPx</t>
  </si>
  <si>
    <t>CapHeightPixel</t>
  </si>
  <si>
    <t>Consolas</t>
  </si>
  <si>
    <t>¯</t>
  </si>
  <si>
    <t>dx</t>
  </si>
  <si>
    <t>dy</t>
  </si>
  <si>
    <t>Ex</t>
  </si>
  <si>
    <t>¨</t>
  </si>
  <si>
    <t>˻</t>
  </si>
  <si>
    <t>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</si>
</sst>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0" formatCode="0.000000"/>
    <numFmt numFmtId="171" formatCode="0.0000000"/>
  </numFmts>
  <fonts count="4" x14ac:knownFonts="1">
    <font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theme="1"/>
      <name val="Calibri"/>
      <family val="2"/>
      <charset val="238"/>
      <scheme val="minor"/>
    </font>
    <font>
      <sz val="9"/>
      <color indexed="81"/>
      <name val="Tahoma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70" fontId="0" fillId="0" borderId="0" xfId="0" applyNumberFormat="1"/>
    <xf numFmtId="171" fontId="0" fillId="0" borderId="0" xfId="0" applyNumberFormat="1"/>
    <xf numFmtId="171" fontId="2" fillId="0" borderId="0" xfId="0" applyNumberFormat="1" applyFont="1"/>
    <xf numFmtId="0" fontId="2" fillId="0" borderId="0" xfId="0" applyFont="1"/>
    <xf numFmtId="0" fontId="0" fillId="0" borderId="0" xfId="0" applyFont="1"/>
    <xf numFmtId="2" fontId="2" fillId="0" borderId="0" xfId="0" applyNumberFormat="1" applyFont="1"/>
    <xf numFmtId="0" fontId="0" fillId="0" borderId="0" xfId="0" applyNumberFormat="1"/>
  </cellXfs>
  <cellStyles count="1">
    <cellStyle name="Normal" xfId="0" builtinId="0"/>
  </cellStyles>
  <dxfs count="3">
    <dxf>
      <numFmt numFmtId="170" formatCode="0.000000"/>
    </dxf>
    <dxf>
      <numFmt numFmtId="0" formatCode="General"/>
    </dxf>
    <dxf>
      <numFmt numFmtId="171" formatCode="0.000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FDAEE6-AEFE-4FE8-A9BD-707EEED45627}" name="TCalc" displayName="TCalc" ref="H2:K41" totalsRowShown="0">
  <autoFilter ref="H2:K41" xr:uid="{B2FDAEE6-AEFE-4FE8-A9BD-707EEED45627}"/>
  <tableColumns count="4">
    <tableColumn id="1" xr3:uid="{D29E11EB-1C66-4D1B-99CB-FB871223A610}" name="Name"/>
    <tableColumn id="2" xr3:uid="{6B4E335B-0AE1-4785-83D5-78CABF69DBB8}" name="SVGpoints"/>
    <tableColumn id="3" xr3:uid="{1374FF9C-98FF-4978-B447-E984732DDEE8}" name="Em" dataDxfId="0">
      <calculatedColumnFormula>TCalc[[#This Row],[SVGpoints]] / _xlfn.XLOOKUP("em", TFontFace[unit], TFontFace[u])</calculatedColumnFormula>
    </tableColumn>
    <tableColumn id="4" xr3:uid="{7236009F-45A0-45C2-BD52-7C267869B8C5}" name="Ex" dataDxfId="1">
      <calculatedColumnFormula>TCalc[[#This Row],[SVGpoints]] / _xlfn.XLOOKUP("ex", TFontFace[unit], TFontFace[u])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ECD63CF-A43E-4B4B-BF83-271E05EEF59B}" name="TFontFace" displayName="TFontFace" ref="A2:F10" totalsRowShown="0">
  <autoFilter ref="A2:F10" xr:uid="{FECD63CF-A43E-4B4B-BF83-271E05EEF59B}"/>
  <tableColumns count="6">
    <tableColumn id="1" xr3:uid="{086A795D-1AA6-439E-9CFA-204C4807FEB5}" name="unit"/>
    <tableColumn id="2" xr3:uid="{96257A2E-FC76-4CA7-B169-9547E805BC34}" name="u"/>
    <tableColumn id="3" xr3:uid="{B0F2747A-EB0C-47D3-8607-3F53A9268B12}" name="em" dataDxfId="2"/>
    <tableColumn id="4" xr3:uid="{3D58B38C-F86D-4B7D-9043-86672916392B}" name="ex"/>
    <tableColumn id="5" xr3:uid="{78E39AAD-184B-47B7-8FFD-410E420784BE}" name="pt"/>
    <tableColumn id="6" xr3:uid="{497FFE70-AE2A-4BAB-9627-4F386669D005}" name="px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A892FF5-EF34-4FA3-8607-6E195146585E}" name="TUnits" displayName="TUnits" ref="A13:C17" totalsRowShown="0">
  <autoFilter ref="A13:C17" xr:uid="{6A892FF5-EF34-4FA3-8607-6E195146585E}"/>
  <tableColumns count="3">
    <tableColumn id="1" xr3:uid="{13249AE9-85AB-471A-8400-843072AC8528}" name="Name"/>
    <tableColumn id="2" xr3:uid="{1CBBE832-20DE-4078-A5DD-B45A82BB2BFD}" name="pt"/>
    <tableColumn id="3" xr3:uid="{011D7239-CF89-4B04-BA1E-B8476CC03194}" name="px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6" Type="http://schemas.openxmlformats.org/officeDocument/2006/relationships/comments" Target="../comments1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98A94-FD50-46A2-A73F-1944C3F6F421}">
  <dimension ref="A1:K41"/>
  <sheetViews>
    <sheetView tabSelected="1" workbookViewId="0">
      <selection activeCell="K41" sqref="K41"/>
    </sheetView>
  </sheetViews>
  <sheetFormatPr defaultRowHeight="15" x14ac:dyDescent="0.25"/>
  <cols>
    <col min="1" max="1" width="16.42578125" bestFit="1" customWidth="1"/>
    <col min="3" max="3" width="10.140625" bestFit="1" customWidth="1"/>
    <col min="4" max="6" width="9.5703125" customWidth="1"/>
    <col min="8" max="8" width="10.28515625" bestFit="1" customWidth="1"/>
    <col min="9" max="9" width="12.42578125" customWidth="1"/>
    <col min="10" max="10" width="9.5703125" bestFit="1" customWidth="1"/>
  </cols>
  <sheetData>
    <row r="1" spans="1:11" x14ac:dyDescent="0.25">
      <c r="A1" s="5" t="s">
        <v>25</v>
      </c>
      <c r="B1" t="s">
        <v>34</v>
      </c>
    </row>
    <row r="2" spans="1:11" x14ac:dyDescent="0.25">
      <c r="A2" t="s">
        <v>24</v>
      </c>
      <c r="B2" t="s">
        <v>29</v>
      </c>
      <c r="C2" t="s">
        <v>19</v>
      </c>
      <c r="D2" t="s">
        <v>20</v>
      </c>
      <c r="E2" t="s">
        <v>23</v>
      </c>
      <c r="F2" t="s">
        <v>18</v>
      </c>
      <c r="H2" t="s">
        <v>0</v>
      </c>
      <c r="I2" t="s">
        <v>1</v>
      </c>
      <c r="J2" t="s">
        <v>22</v>
      </c>
      <c r="K2" t="s">
        <v>38</v>
      </c>
    </row>
    <row r="3" spans="1:11" x14ac:dyDescent="0.25">
      <c r="A3" t="s">
        <v>19</v>
      </c>
      <c r="B3">
        <v>2048</v>
      </c>
      <c r="C3" s="6">
        <v>1</v>
      </c>
      <c r="D3" s="5">
        <f xml:space="preserve"> TFontFace[[#This Row],[u]] /  _xlfn.XLOOKUP("ex", TFontFace[unit], TFontFace[u])</f>
        <v>2.0398406374501992</v>
      </c>
      <c r="E3" s="5">
        <f xml:space="preserve"> FontSizePt</f>
        <v>11.752104055087988</v>
      </c>
      <c r="F3" s="7">
        <f xml:space="preserve"> FontSizePx</f>
        <v>15.669472073450651</v>
      </c>
      <c r="H3" s="1" t="s">
        <v>17</v>
      </c>
      <c r="J3" s="2"/>
    </row>
    <row r="4" spans="1:11" x14ac:dyDescent="0.25">
      <c r="A4" t="s">
        <v>7</v>
      </c>
      <c r="B4">
        <v>1126</v>
      </c>
      <c r="C4" s="4">
        <f xml:space="preserve"> TFontFace[[#This Row],[u]] / _xlfn.XLOOKUP("em", TFontFace[unit], TFontFace[u])</f>
        <v>0.5498046875</v>
      </c>
      <c r="D4" s="5">
        <f xml:space="preserve"> TFontFace[[#This Row],[u]] /  _xlfn.XLOOKUP("ex", TFontFace[unit], TFontFace[u])</f>
        <v>1.1215139442231075</v>
      </c>
      <c r="E4" s="5">
        <f xml:space="preserve"> ( TFontFace[[#This Row],[u]] / _xlfn.XLOOKUP("em", TFontFace[unit], TFontFace[u]) ) * FontSizePt</f>
        <v>6.4613618974751343</v>
      </c>
      <c r="F4" s="7">
        <f xml:space="preserve"> ( TFontFace[[#This Row],[u]] / _xlfn.XLOOKUP("em", TFontFace[unit], TFontFace[u]) ) * FontSizePx</f>
        <v>8.6151491966335119</v>
      </c>
      <c r="H4" t="s">
        <v>2</v>
      </c>
      <c r="I4">
        <v>233</v>
      </c>
      <c r="J4" s="2">
        <f>TCalc[[#This Row],[SVGpoints]] / _xlfn.XLOOKUP("em", TFontFace[unit], TFontFace[u])</f>
        <v>0.11376953125</v>
      </c>
      <c r="K4">
        <f>TCalc[[#This Row],[SVGpoints]] / _xlfn.XLOOKUP("ex", TFontFace[unit], TFontFace[u])</f>
        <v>0.23207171314741035</v>
      </c>
    </row>
    <row r="5" spans="1:11" x14ac:dyDescent="0.25">
      <c r="A5" t="s">
        <v>8</v>
      </c>
      <c r="B5">
        <v>1307</v>
      </c>
      <c r="C5" s="4">
        <f xml:space="preserve"> TFontFace[[#This Row],[u]] / _xlfn.XLOOKUP("em", TFontFace[unit], TFontFace[u])</f>
        <v>0.63818359375</v>
      </c>
      <c r="D5" s="5">
        <f xml:space="preserve"> TFontFace[[#This Row],[u]] /  _xlfn.XLOOKUP("ex", TFontFace[unit], TFontFace[u])</f>
        <v>1.3017928286852589</v>
      </c>
      <c r="E5" s="5">
        <f xml:space="preserve"> ( TFontFace[[#This Row],[u]] / _xlfn.XLOOKUP("em", TFontFace[unit], TFontFace[u]) ) * FontSizePt</f>
        <v>7.5000000000000009</v>
      </c>
      <c r="F5" s="7">
        <f xml:space="preserve"> ( TFontFace[[#This Row],[u]] / _xlfn.XLOOKUP("em", TFontFace[unit], TFontFace[u]) ) * FontSizePx</f>
        <v>10</v>
      </c>
      <c r="H5" t="s">
        <v>12</v>
      </c>
      <c r="I5">
        <v>141</v>
      </c>
      <c r="J5" s="2">
        <f>TCalc[[#This Row],[SVGpoints]] / _xlfn.XLOOKUP("em", TFontFace[unit], TFontFace[u])</f>
        <v>6.884765625E-2</v>
      </c>
      <c r="K5">
        <f>TCalc[[#This Row],[SVGpoints]] / _xlfn.XLOOKUP("ex", TFontFace[unit], TFontFace[u])</f>
        <v>0.14043824701195218</v>
      </c>
    </row>
    <row r="6" spans="1:11" x14ac:dyDescent="0.25">
      <c r="A6" t="s">
        <v>20</v>
      </c>
      <c r="B6">
        <v>1004</v>
      </c>
      <c r="C6" s="4">
        <f xml:space="preserve"> TFontFace[[#This Row],[u]] / _xlfn.XLOOKUP("em", TFontFace[unit], TFontFace[u])</f>
        <v>0.490234375</v>
      </c>
      <c r="D6">
        <v>1</v>
      </c>
      <c r="E6" s="5">
        <f xml:space="preserve"> ( TFontFace[[#This Row],[u]] / _xlfn.XLOOKUP("em", TFontFace[unit], TFontFace[u]) ) * FontSizePt</f>
        <v>5.7612853863810258</v>
      </c>
      <c r="F6" s="7">
        <f xml:space="preserve"> ( TFontFace[[#This Row],[u]] / _xlfn.XLOOKUP("em", TFontFace[unit], TFontFace[u]) ) * FontSizePx</f>
        <v>7.6817138485080338</v>
      </c>
      <c r="H6" t="s">
        <v>4</v>
      </c>
      <c r="I6">
        <f>985-233</f>
        <v>752</v>
      </c>
      <c r="J6" s="2">
        <f>TCalc[[#This Row],[SVGpoints]] / _xlfn.XLOOKUP("em", TFontFace[unit], TFontFace[u])</f>
        <v>0.3671875</v>
      </c>
      <c r="K6">
        <f>TCalc[[#This Row],[SVGpoints]] / _xlfn.XLOOKUP("ex", TFontFace[unit], TFontFace[u])</f>
        <v>0.74900398406374502</v>
      </c>
    </row>
    <row r="7" spans="1:11" x14ac:dyDescent="0.25">
      <c r="A7" t="s">
        <v>31</v>
      </c>
      <c r="B7">
        <v>1028</v>
      </c>
      <c r="C7" s="4">
        <f xml:space="preserve"> TFontFace[[#This Row],[u]] / _xlfn.XLOOKUP("em", TFontFace[unit], TFontFace[u])</f>
        <v>0.501953125</v>
      </c>
      <c r="D7" s="5">
        <f xml:space="preserve"> TFontFace[[#This Row],[u]] /  _xlfn.XLOOKUP("ex", TFontFace[unit], TFontFace[u])</f>
        <v>1.0239043824701195</v>
      </c>
      <c r="E7" s="5">
        <f xml:space="preserve"> ( TFontFace[[#This Row],[u]] / _xlfn.XLOOKUP("em", TFontFace[unit], TFontFace[u]) ) * FontSizePt</f>
        <v>5.8990053557765876</v>
      </c>
      <c r="F7" s="7">
        <f xml:space="preserve"> ( TFontFace[[#This Row],[u]] / _xlfn.XLOOKUP("em", TFontFace[unit], TFontFace[u]) ) * FontSizePx</f>
        <v>7.865340474368784</v>
      </c>
      <c r="H7" t="s">
        <v>3</v>
      </c>
      <c r="I7">
        <v>1307</v>
      </c>
      <c r="J7" s="2">
        <f>TCalc[[#This Row],[SVGpoints]] / _xlfn.XLOOKUP("em", TFontFace[unit], TFontFace[u])</f>
        <v>0.63818359375</v>
      </c>
      <c r="K7">
        <f>TCalc[[#This Row],[SVGpoints]] / _xlfn.XLOOKUP("ex", TFontFace[unit], TFontFace[u])</f>
        <v>1.3017928286852589</v>
      </c>
    </row>
    <row r="8" spans="1:11" x14ac:dyDescent="0.25">
      <c r="A8" t="s">
        <v>23</v>
      </c>
      <c r="C8" s="3"/>
      <c r="E8">
        <v>1</v>
      </c>
      <c r="F8" s="7">
        <f xml:space="preserve"> 1 / Pt_Px</f>
        <v>1.3333333333333333</v>
      </c>
      <c r="H8" t="s">
        <v>5</v>
      </c>
      <c r="I8">
        <f>414-233</f>
        <v>181</v>
      </c>
      <c r="J8" s="2">
        <f>TCalc[[#This Row],[SVGpoints]] / _xlfn.XLOOKUP("em", TFontFace[unit], TFontFace[u])</f>
        <v>8.837890625E-2</v>
      </c>
      <c r="K8">
        <f>TCalc[[#This Row],[SVGpoints]] / _xlfn.XLOOKUP("ex", TFontFace[unit], TFontFace[u])</f>
        <v>0.1802788844621514</v>
      </c>
    </row>
    <row r="9" spans="1:11" x14ac:dyDescent="0.25">
      <c r="A9" t="s">
        <v>18</v>
      </c>
      <c r="C9" s="3"/>
      <c r="E9" s="5">
        <f xml:space="preserve"> Pt_Px</f>
        <v>0.75</v>
      </c>
      <c r="F9">
        <v>1</v>
      </c>
      <c r="H9" t="s">
        <v>6</v>
      </c>
      <c r="I9">
        <v>152</v>
      </c>
      <c r="J9" s="2">
        <f>TCalc[[#This Row],[SVGpoints]] / _xlfn.XLOOKUP("em", TFontFace[unit], TFontFace[u])</f>
        <v>7.421875E-2</v>
      </c>
      <c r="K9">
        <f>TCalc[[#This Row],[SVGpoints]] / _xlfn.XLOOKUP("ex", TFontFace[unit], TFontFace[u])</f>
        <v>0.15139442231075698</v>
      </c>
    </row>
    <row r="10" spans="1:11" x14ac:dyDescent="0.25">
      <c r="A10" t="s">
        <v>33</v>
      </c>
      <c r="C10" s="3"/>
      <c r="E10" s="2">
        <f xml:space="preserve"> TFontFace[[#This Row],[px]] * Pt_Px</f>
        <v>1.1752104055087988</v>
      </c>
      <c r="F10">
        <f xml:space="preserve"> _xlfn.XLOOKUP("em", TFontFace[unit], TFontFace[u])
/ _xlfn.XLOOKUP("cap-height", TFontFace[unit], TFontFace[u])</f>
        <v>1.566947207345065</v>
      </c>
      <c r="H10" t="s">
        <v>11</v>
      </c>
      <c r="I10">
        <v>1126</v>
      </c>
      <c r="J10" s="2">
        <f>TCalc[[#This Row],[SVGpoints]] / _xlfn.XLOOKUP("em", TFontFace[unit], TFontFace[u])</f>
        <v>0.5498046875</v>
      </c>
      <c r="K10">
        <f>TCalc[[#This Row],[SVGpoints]] / _xlfn.XLOOKUP("ex", TFontFace[unit], TFontFace[u])</f>
        <v>1.1215139442231075</v>
      </c>
    </row>
    <row r="11" spans="1:11" x14ac:dyDescent="0.25">
      <c r="H11" s="1" t="s">
        <v>9</v>
      </c>
      <c r="J11" s="2"/>
    </row>
    <row r="12" spans="1:11" x14ac:dyDescent="0.25">
      <c r="A12" s="5" t="s">
        <v>26</v>
      </c>
      <c r="H12" t="s">
        <v>2</v>
      </c>
      <c r="I12">
        <v>70</v>
      </c>
      <c r="J12" s="2">
        <f>TCalc[[#This Row],[SVGpoints]] / _xlfn.XLOOKUP("em", TFontFace[unit], TFontFace[u])</f>
        <v>3.41796875E-2</v>
      </c>
      <c r="K12">
        <f>TCalc[[#This Row],[SVGpoints]] / _xlfn.XLOOKUP("ex", TFontFace[unit], TFontFace[u])</f>
        <v>6.9721115537848599E-2</v>
      </c>
    </row>
    <row r="13" spans="1:11" x14ac:dyDescent="0.25">
      <c r="A13" t="s">
        <v>0</v>
      </c>
      <c r="B13" t="s">
        <v>23</v>
      </c>
      <c r="C13" t="s">
        <v>18</v>
      </c>
      <c r="H13" t="s">
        <v>4</v>
      </c>
      <c r="I13">
        <f>1065-70</f>
        <v>995</v>
      </c>
      <c r="J13" s="2">
        <f>TCalc[[#This Row],[SVGpoints]] / _xlfn.XLOOKUP("em", TFontFace[unit], TFontFace[u])</f>
        <v>0.48583984375</v>
      </c>
      <c r="K13">
        <f>TCalc[[#This Row],[SVGpoints]] / _xlfn.XLOOKUP("ex", TFontFace[unit], TFontFace[u])</f>
        <v>0.99103585657370519</v>
      </c>
    </row>
    <row r="14" spans="1:11" x14ac:dyDescent="0.25">
      <c r="A14" t="s">
        <v>27</v>
      </c>
      <c r="B14">
        <v>72</v>
      </c>
      <c r="C14">
        <f>Pt_In / Pt_Px</f>
        <v>96</v>
      </c>
      <c r="H14" t="s">
        <v>3</v>
      </c>
      <c r="I14">
        <v>1004</v>
      </c>
      <c r="J14" s="2">
        <f>TCalc[[#This Row],[SVGpoints]] / _xlfn.XLOOKUP("em", TFontFace[unit], TFontFace[u])</f>
        <v>0.490234375</v>
      </c>
      <c r="K14">
        <f>TCalc[[#This Row],[SVGpoints]] / _xlfn.XLOOKUP("ex", TFontFace[unit], TFontFace[u])</f>
        <v>1</v>
      </c>
    </row>
    <row r="15" spans="1:11" x14ac:dyDescent="0.25">
      <c r="A15" t="s">
        <v>28</v>
      </c>
      <c r="B15">
        <f>3/4</f>
        <v>0.75</v>
      </c>
      <c r="C15">
        <v>1</v>
      </c>
      <c r="H15" t="s">
        <v>5</v>
      </c>
      <c r="J15" s="2">
        <f>TCalc[[#This Row],[SVGpoints]] / _xlfn.XLOOKUP("em", TFontFace[unit], TFontFace[u])</f>
        <v>0</v>
      </c>
      <c r="K15">
        <f>TCalc[[#This Row],[SVGpoints]] / _xlfn.XLOOKUP("ex", TFontFace[unit], TFontFace[u])</f>
        <v>0</v>
      </c>
    </row>
    <row r="16" spans="1:11" x14ac:dyDescent="0.25">
      <c r="A16" t="s">
        <v>30</v>
      </c>
      <c r="B16">
        <f>B17 * 10</f>
        <v>11.752104055087988</v>
      </c>
      <c r="C16">
        <f>FontSizePt / Pt_Px</f>
        <v>15.669472073450651</v>
      </c>
      <c r="H16" t="s">
        <v>6</v>
      </c>
      <c r="J16" s="2">
        <f>TCalc[[#This Row],[SVGpoints]] / _xlfn.XLOOKUP("em", TFontFace[unit], TFontFace[u])</f>
        <v>0</v>
      </c>
      <c r="K16">
        <f>TCalc[[#This Row],[SVGpoints]] / _xlfn.XLOOKUP("ex", TFontFace[unit], TFontFace[u])</f>
        <v>0</v>
      </c>
    </row>
    <row r="17" spans="1:11" x14ac:dyDescent="0.25">
      <c r="A17" t="s">
        <v>32</v>
      </c>
      <c r="B17">
        <f xml:space="preserve"> _xlfn.XLOOKUP( "CapHeightPixel", TFontFace[unit], TFontFace[pt])</f>
        <v>1.1752104055087988</v>
      </c>
      <c r="C17">
        <f xml:space="preserve"> _xlfn.XLOOKUP( "CapHeightPixel", TFontFace[unit], TFontFace[px])</f>
        <v>1.566947207345065</v>
      </c>
      <c r="H17" s="1" t="s">
        <v>10</v>
      </c>
      <c r="J17" s="2"/>
    </row>
    <row r="18" spans="1:11" x14ac:dyDescent="0.25">
      <c r="H18" t="s">
        <v>2</v>
      </c>
      <c r="I18">
        <v>49</v>
      </c>
      <c r="J18" s="2">
        <f>TCalc[[#This Row],[SVGpoints]] / _xlfn.XLOOKUP("em", TFontFace[unit], TFontFace[u])</f>
        <v>2.392578125E-2</v>
      </c>
      <c r="K18">
        <f>TCalc[[#This Row],[SVGpoints]] / _xlfn.XLOOKUP("ex", TFontFace[unit], TFontFace[u])</f>
        <v>4.8804780876494022E-2</v>
      </c>
    </row>
    <row r="19" spans="1:11" x14ac:dyDescent="0.25">
      <c r="H19" t="s">
        <v>4</v>
      </c>
      <c r="I19">
        <f>1077-49</f>
        <v>1028</v>
      </c>
      <c r="J19" s="2">
        <f>TCalc[[#This Row],[SVGpoints]] / _xlfn.XLOOKUP("em", TFontFace[unit], TFontFace[u])</f>
        <v>0.501953125</v>
      </c>
      <c r="K19">
        <f>TCalc[[#This Row],[SVGpoints]] / _xlfn.XLOOKUP("ex", TFontFace[unit], TFontFace[u])</f>
        <v>1.0239043824701195</v>
      </c>
    </row>
    <row r="20" spans="1:11" x14ac:dyDescent="0.25">
      <c r="H20" t="s">
        <v>3</v>
      </c>
      <c r="I20">
        <v>1307</v>
      </c>
      <c r="J20" s="2">
        <f>TCalc[[#This Row],[SVGpoints]] / _xlfn.XLOOKUP("em", TFontFace[unit], TFontFace[u])</f>
        <v>0.63818359375</v>
      </c>
      <c r="K20">
        <f>TCalc[[#This Row],[SVGpoints]] / _xlfn.XLOOKUP("ex", TFontFace[unit], TFontFace[u])</f>
        <v>1.3017928286852589</v>
      </c>
    </row>
    <row r="21" spans="1:11" x14ac:dyDescent="0.25">
      <c r="H21" t="s">
        <v>5</v>
      </c>
      <c r="I21">
        <f>1014-113</f>
        <v>901</v>
      </c>
      <c r="J21" s="2">
        <f>TCalc[[#This Row],[SVGpoints]] / _xlfn.XLOOKUP("em", TFontFace[unit], TFontFace[u])</f>
        <v>0.43994140625</v>
      </c>
      <c r="K21">
        <f>TCalc[[#This Row],[SVGpoints]] / _xlfn.XLOOKUP("ex", TFontFace[unit], TFontFace[u])</f>
        <v>0.89741035856573703</v>
      </c>
    </row>
    <row r="22" spans="1:11" x14ac:dyDescent="0.25">
      <c r="H22" t="s">
        <v>6</v>
      </c>
      <c r="J22" s="2">
        <f>TCalc[[#This Row],[SVGpoints]] / _xlfn.XLOOKUP("em", TFontFace[unit], TFontFace[u])</f>
        <v>0</v>
      </c>
      <c r="K22">
        <f>TCalc[[#This Row],[SVGpoints]] / _xlfn.XLOOKUP("ex", TFontFace[unit], TFontFace[u])</f>
        <v>0</v>
      </c>
    </row>
    <row r="23" spans="1:11" x14ac:dyDescent="0.25">
      <c r="H23" s="1" t="s">
        <v>35</v>
      </c>
      <c r="J23" s="2"/>
    </row>
    <row r="24" spans="1:11" x14ac:dyDescent="0.25">
      <c r="H24" t="s">
        <v>2</v>
      </c>
      <c r="I24">
        <v>301</v>
      </c>
      <c r="J24" s="2">
        <f>TCalc[[#This Row],[SVGpoints]] / _xlfn.XLOOKUP("em", TFontFace[unit], TFontFace[u])</f>
        <v>0.14697265625</v>
      </c>
      <c r="K24">
        <f>TCalc[[#This Row],[SVGpoints]] / _xlfn.XLOOKUP("ex", TFontFace[unit], TFontFace[u])</f>
        <v>0.29980079681274902</v>
      </c>
    </row>
    <row r="25" spans="1:11" x14ac:dyDescent="0.25">
      <c r="A25" t="s">
        <v>13</v>
      </c>
      <c r="B25" t="s">
        <v>14</v>
      </c>
      <c r="C25" s="3">
        <v>0.11376953125</v>
      </c>
      <c r="D25" s="3"/>
      <c r="E25" s="3"/>
      <c r="F25" s="3"/>
      <c r="H25" t="s">
        <v>12</v>
      </c>
      <c r="I25">
        <v>301</v>
      </c>
      <c r="J25" s="2">
        <f>TCalc[[#This Row],[SVGpoints]] / _xlfn.XLOOKUP("em", TFontFace[unit], TFontFace[u])</f>
        <v>0.14697265625</v>
      </c>
      <c r="K25">
        <f>TCalc[[#This Row],[SVGpoints]] / _xlfn.XLOOKUP("ex", TFontFace[unit], TFontFace[u])</f>
        <v>0.29980079681274902</v>
      </c>
    </row>
    <row r="26" spans="1:11" x14ac:dyDescent="0.25">
      <c r="A26" t="s">
        <v>15</v>
      </c>
      <c r="B26" t="s">
        <v>16</v>
      </c>
      <c r="C26" s="3">
        <f>I18 / _xlfn.XLOOKUP("em", TFontFace[unit], TFontFace[u])</f>
        <v>2.392578125E-2</v>
      </c>
      <c r="D26" s="3"/>
      <c r="E26" s="3"/>
      <c r="F26" s="3"/>
      <c r="H26" t="s">
        <v>4</v>
      </c>
      <c r="I26">
        <v>524</v>
      </c>
      <c r="J26" s="2">
        <f>TCalc[[#This Row],[SVGpoints]] / _xlfn.XLOOKUP("em", TFontFace[unit], TFontFace[u])</f>
        <v>0.255859375</v>
      </c>
      <c r="K26">
        <f>TCalc[[#This Row],[SVGpoints]] / _xlfn.XLOOKUP("ex", TFontFace[unit], TFontFace[u])</f>
        <v>0.52191235059760954</v>
      </c>
    </row>
    <row r="27" spans="1:11" x14ac:dyDescent="0.25">
      <c r="A27" t="s">
        <v>21</v>
      </c>
      <c r="C27" s="3">
        <f>I12 / _xlfn.XLOOKUP("em", TFontFace[unit], TFontFace[u])</f>
        <v>3.41796875E-2</v>
      </c>
      <c r="H27" t="s">
        <v>36</v>
      </c>
      <c r="I27">
        <f>-I25 -I26/2</f>
        <v>-563</v>
      </c>
      <c r="J27" s="2">
        <f>TCalc[[#This Row],[SVGpoints]] / _xlfn.XLOOKUP("em", TFontFace[unit], TFontFace[u])</f>
        <v>-0.27490234375</v>
      </c>
      <c r="K27">
        <f>TCalc[[#This Row],[SVGpoints]] / _xlfn.XLOOKUP("ex", TFontFace[unit], TFontFace[u])</f>
        <v>-0.56075697211155373</v>
      </c>
    </row>
    <row r="28" spans="1:11" x14ac:dyDescent="0.25">
      <c r="H28" t="s">
        <v>37</v>
      </c>
      <c r="I28">
        <f>1358 -133/2</f>
        <v>1291.5</v>
      </c>
      <c r="J28" s="2">
        <f>TCalc[[#This Row],[SVGpoints]] / _xlfn.XLOOKUP("em", TFontFace[unit], TFontFace[u])</f>
        <v>0.630615234375</v>
      </c>
      <c r="K28">
        <f>TCalc[[#This Row],[SVGpoints]] / _xlfn.XLOOKUP("ex", TFontFace[unit], TFontFace[u])</f>
        <v>1.2863545816733069</v>
      </c>
    </row>
    <row r="29" spans="1:11" x14ac:dyDescent="0.25">
      <c r="H29" s="1" t="s">
        <v>39</v>
      </c>
      <c r="J29" s="2"/>
      <c r="K29" s="8"/>
    </row>
    <row r="30" spans="1:11" x14ac:dyDescent="0.25">
      <c r="H30" t="s">
        <v>2</v>
      </c>
      <c r="I30">
        <v>236</v>
      </c>
      <c r="J30" s="2">
        <f>TCalc[[#This Row],[SVGpoints]] / _xlfn.XLOOKUP("em", TFontFace[unit], TFontFace[u])</f>
        <v>0.115234375</v>
      </c>
      <c r="K30" s="8">
        <f>TCalc[[#This Row],[SVGpoints]] / _xlfn.XLOOKUP("ex", TFontFace[unit], TFontFace[u])</f>
        <v>0.23505976095617531</v>
      </c>
    </row>
    <row r="31" spans="1:11" x14ac:dyDescent="0.25">
      <c r="H31" t="s">
        <v>12</v>
      </c>
      <c r="I31">
        <v>235</v>
      </c>
      <c r="J31" s="2">
        <f>TCalc[[#This Row],[SVGpoints]] / _xlfn.XLOOKUP("em", TFontFace[unit], TFontFace[u])</f>
        <v>0.11474609375</v>
      </c>
      <c r="K31" s="8">
        <f>TCalc[[#This Row],[SVGpoints]] / _xlfn.XLOOKUP("ex", TFontFace[unit], TFontFace[u])</f>
        <v>0.23406374501992031</v>
      </c>
    </row>
    <row r="32" spans="1:11" x14ac:dyDescent="0.25">
      <c r="H32" t="s">
        <v>4</v>
      </c>
      <c r="I32">
        <v>655</v>
      </c>
      <c r="J32" s="2">
        <f>TCalc[[#This Row],[SVGpoints]] / _xlfn.XLOOKUP("em", TFontFace[unit], TFontFace[u])</f>
        <v>0.31982421875</v>
      </c>
      <c r="K32" s="8">
        <f>TCalc[[#This Row],[SVGpoints]] / _xlfn.XLOOKUP("ex", TFontFace[unit], TFontFace[u])</f>
        <v>0.65239043824701193</v>
      </c>
    </row>
    <row r="33" spans="8:11" x14ac:dyDescent="0.25">
      <c r="H33" t="s">
        <v>36</v>
      </c>
      <c r="I33">
        <f>-I30 -I32/2</f>
        <v>-563.5</v>
      </c>
      <c r="J33" s="2">
        <f>TCalc[[#This Row],[SVGpoints]] / _xlfn.XLOOKUP("em", TFontFace[unit], TFontFace[u])</f>
        <v>-0.275146484375</v>
      </c>
      <c r="K33" s="8">
        <f>TCalc[[#This Row],[SVGpoints]] / _xlfn.XLOOKUP("ex", TFontFace[unit], TFontFace[u])</f>
        <v>-0.56125498007968122</v>
      </c>
    </row>
    <row r="34" spans="8:11" x14ac:dyDescent="0.25">
      <c r="H34" t="s">
        <v>37</v>
      </c>
      <c r="I34">
        <f>1405 -225/2</f>
        <v>1292.5</v>
      </c>
      <c r="J34" s="2">
        <f>TCalc[[#This Row],[SVGpoints]] / _xlfn.XLOOKUP("em", TFontFace[unit], TFontFace[u])</f>
        <v>0.631103515625</v>
      </c>
      <c r="K34" s="8">
        <f>TCalc[[#This Row],[SVGpoints]] / _xlfn.XLOOKUP("ex", TFontFace[unit], TFontFace[u])</f>
        <v>1.2873505976095618</v>
      </c>
    </row>
    <row r="35" spans="8:11" x14ac:dyDescent="0.25">
      <c r="H35" s="1" t="s">
        <v>40</v>
      </c>
      <c r="J35" s="2"/>
      <c r="K35" s="8"/>
    </row>
    <row r="36" spans="8:11" x14ac:dyDescent="0.25">
      <c r="H36" t="s">
        <v>2</v>
      </c>
      <c r="I36">
        <v>374</v>
      </c>
      <c r="J36" s="2">
        <f>TCalc[[#This Row],[SVGpoints]] / _xlfn.XLOOKUP("em", TFontFace[unit], TFontFace[u])</f>
        <v>0.1826171875</v>
      </c>
      <c r="K36" s="8">
        <f>TCalc[[#This Row],[SVGpoints]] / _xlfn.XLOOKUP("ex", TFontFace[unit], TFontFace[u])</f>
        <v>0.37250996015936255</v>
      </c>
    </row>
    <row r="37" spans="8:11" x14ac:dyDescent="0.25">
      <c r="H37" t="s">
        <v>36</v>
      </c>
      <c r="I37">
        <v>-374</v>
      </c>
      <c r="J37" s="2">
        <f>TCalc[[#This Row],[SVGpoints]] / _xlfn.XLOOKUP("em", TFontFace[unit], TFontFace[u])</f>
        <v>-0.1826171875</v>
      </c>
      <c r="K37" s="8">
        <f>TCalc[[#This Row],[SVGpoints]] / _xlfn.XLOOKUP("ex", TFontFace[unit], TFontFace[u])</f>
        <v>-0.37250996015936255</v>
      </c>
    </row>
    <row r="38" spans="8:11" x14ac:dyDescent="0.25">
      <c r="H38" s="1" t="s">
        <v>41</v>
      </c>
      <c r="J38" s="2"/>
      <c r="K38" s="8"/>
    </row>
    <row r="39" spans="8:11" x14ac:dyDescent="0.25">
      <c r="H39" t="s">
        <v>2</v>
      </c>
      <c r="I39">
        <v>374</v>
      </c>
      <c r="J39" s="2">
        <f>TCalc[[#This Row],[SVGpoints]] / _xlfn.XLOOKUP("em", TFontFace[unit], TFontFace[u])</f>
        <v>0.1826171875</v>
      </c>
      <c r="K39" s="8">
        <f>TCalc[[#This Row],[SVGpoints]] / _xlfn.XLOOKUP("ex", TFontFace[unit], TFontFace[u])</f>
        <v>0.37250996015936255</v>
      </c>
    </row>
    <row r="40" spans="8:11" x14ac:dyDescent="0.25">
      <c r="H40" t="s">
        <v>36</v>
      </c>
      <c r="I40">
        <v>-374</v>
      </c>
      <c r="J40" s="2">
        <f>TCalc[[#This Row],[SVGpoints]] / _xlfn.XLOOKUP("em", TFontFace[unit], TFontFace[u])</f>
        <v>-0.1826171875</v>
      </c>
      <c r="K40" s="8">
        <f>TCalc[[#This Row],[SVGpoints]] / _xlfn.XLOOKUP("ex", TFontFace[unit], TFontFace[u])</f>
        <v>-0.37250996015936255</v>
      </c>
    </row>
    <row r="41" spans="8:11" x14ac:dyDescent="0.25">
      <c r="H41" t="s">
        <v>37</v>
      </c>
      <c r="I41">
        <v>1387</v>
      </c>
      <c r="J41" s="2">
        <f>TCalc[[#This Row],[SVGpoints]] / _xlfn.XLOOKUP("em", TFontFace[unit], TFontFace[u])</f>
        <v>0.67724609375</v>
      </c>
      <c r="K41" s="8">
        <f>TCalc[[#This Row],[SVGpoints]] / _xlfn.XLOOKUP("ex", TFontFace[unit], TFontFace[u])</f>
        <v>1.3814741035856575</v>
      </c>
    </row>
  </sheetData>
  <pageMargins left="0.7" right="0.7" top="0.75" bottom="0.75" header="0.3" footer="0.3"/>
  <pageSetup paperSize="123" orientation="portrait" horizontalDpi="300" verticalDpi="300" r:id="rId1"/>
  <legacyDrawing r:id="rId2"/>
  <tableParts count="3"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Sheet1</vt:lpstr>
      <vt:lpstr>FontSizePt</vt:lpstr>
      <vt:lpstr>FontSizePx</vt:lpstr>
      <vt:lpstr>Pt_In</vt:lpstr>
      <vt:lpstr>Pt_Px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Krzysztof Lasota</dc:creator>
  <cp:lastModifiedBy>Krzysztof Lasota</cp:lastModifiedBy>
  <dcterms:created xsi:type="dcterms:W3CDTF">2026-02-05T15:19:25Z</dcterms:created>
  <dcterms:modified xsi:type="dcterms:W3CDTF">2026-02-05T21:42:22Z</dcterms:modified>
</cp:coreProperties>
</file>